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ستمارة الفحص" sheetId="1" state="visible" r:id="rId1"/>
    <sheet name="البيانات" sheetId="2" state="visible" r:id="rId2"/>
  </sheets>
  <definedNames>
    <definedName name="PartsList">'البيانات'!$A$2:$A$200</definedName>
    <definedName name="PartsTable">'البيانات'!$A$2:$C$200</definedName>
    <definedName name="_xlnm.Print_Titles" localSheetId="0">'استمارة الفحص'!$1:$10</definedName>
    <definedName name="_xlnm.Print_Area" localSheetId="0">'استمارة الفحص'!$A$1:$G$50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000000"/>
      <sz val="11"/>
    </font>
    <font>
      <name val="Arial"/>
      <b val="1"/>
      <color rgb="00C00000"/>
      <sz val="10"/>
    </font>
    <font>
      <name val="Arial"/>
      <b val="1"/>
      <color rgb="001F3864"/>
      <sz val="12"/>
    </font>
    <font>
      <name val="Arial"/>
      <b val="1"/>
      <color rgb="001F3864"/>
      <sz val="10"/>
    </font>
    <font>
      <name val="Arial"/>
      <b val="1"/>
      <color rgb="00FFFFFF"/>
      <sz val="20"/>
    </font>
    <font>
      <name val="Arial"/>
      <b val="1"/>
      <color rgb="00FFFFFF"/>
      <sz val="13"/>
    </font>
    <font>
      <name val="Arial"/>
      <b val="1"/>
      <color rgb="001F3864"/>
      <sz val="11"/>
    </font>
    <font>
      <name val="Arial"/>
      <b val="1"/>
      <color rgb="00000000"/>
      <sz val="11"/>
    </font>
    <font>
      <name val="Arial"/>
      <b val="1"/>
      <color rgb="00000000"/>
      <sz val="12"/>
    </font>
    <font>
      <name val="Arial"/>
      <b val="1"/>
      <color rgb="00FFFFFF"/>
      <sz val="11"/>
    </font>
    <font>
      <name val="Arial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D9E1F2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>
        <color rgb="00404040"/>
      </left>
      <right style="medium">
        <color rgb="00404040"/>
      </right>
      <top style="medium">
        <color rgb="00404040"/>
      </top>
      <bottom style="medium">
        <color rgb="0040404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right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right" vertical="center" wrapText="1"/>
    </xf>
    <xf numFmtId="0" fontId="8" fillId="4" borderId="1" applyAlignment="1" pivotButton="0" quotePrefix="0" xfId="0">
      <alignment horizontal="right" vertical="center" wrapText="1"/>
    </xf>
    <xf numFmtId="0" fontId="9" fillId="5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0" fillId="0" borderId="1" applyAlignment="1" pivotButton="0" quotePrefix="0" xfId="0">
      <alignment horizontal="center" vertical="center" wrapText="1"/>
    </xf>
    <xf numFmtId="164" fontId="10" fillId="0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dxfs count="3">
    <dxf>
      <fill>
        <patternFill patternType="solid">
          <fgColor rgb="00BFBFBF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904875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0"/>
  <sheetViews>
    <sheetView showGridLines="0" rightToLeft="1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2" customWidth="1" min="3" max="3"/>
    <col width="20" customWidth="1" min="4" max="4"/>
    <col width="13" customWidth="1" min="5" max="5"/>
    <col width="13" customWidth="1" min="6" max="6"/>
    <col width="28" customWidth="1" min="7" max="7"/>
  </cols>
  <sheetData>
    <row r="1" ht="22" customHeight="1">
      <c r="A1" s="1" t="inlineStr">
        <is>
          <t>قسم الدراسات والبحوث
(شعار الجهة)</t>
        </is>
      </c>
      <c r="F1" s="2" t="inlineStr">
        <is>
          <t>رقم الاستمارة:  ER-0001</t>
        </is>
      </c>
    </row>
    <row r="2" ht="22" customHeight="1">
      <c r="F2" s="2" t="inlineStr">
        <is>
          <t>تاريخ الإصدار:  ..../..../....</t>
        </is>
      </c>
    </row>
    <row r="3" ht="22" customHeight="1">
      <c r="F3" s="2" t="inlineStr">
        <is>
          <t>رقم الإصدار:  (1)</t>
        </is>
      </c>
    </row>
    <row r="4" ht="40" customHeight="1">
      <c r="A4" s="3" t="inlineStr">
        <is>
          <t>استمارة الفحص الفني الشامل</t>
        </is>
      </c>
    </row>
    <row r="5" ht="26" customHeight="1">
      <c r="A5" s="4" t="inlineStr">
        <is>
          <t>◆  بيانات الاستمارة الأساسية</t>
        </is>
      </c>
    </row>
    <row r="6" ht="24" customHeight="1">
      <c r="A6" s="5" t="inlineStr">
        <is>
          <t>رقم القطعة</t>
        </is>
      </c>
      <c r="B6" s="6" t="n"/>
      <c r="C6" s="5" t="inlineStr">
        <is>
          <t>المجموعة</t>
        </is>
      </c>
      <c r="D6" s="6" t="n"/>
    </row>
    <row r="7" ht="24" customHeight="1">
      <c r="A7" s="5" t="inlineStr">
        <is>
          <t>اسم القطعة</t>
        </is>
      </c>
      <c r="B7" s="6">
        <f>IFERROR(VLOOKUP($B$6,PartsTable,2,FALSE),"")</f>
        <v/>
      </c>
      <c r="D7" s="5" t="inlineStr">
        <is>
          <t>التاريخ</t>
        </is>
      </c>
      <c r="E7" s="6" t="inlineStr">
        <is>
          <t>..../..../....</t>
        </is>
      </c>
    </row>
    <row r="8" ht="24" customHeight="1">
      <c r="A8" s="5" t="inlineStr">
        <is>
          <t>اسم المشروع</t>
        </is>
      </c>
      <c r="B8" s="6" t="n"/>
      <c r="E8" s="5" t="inlineStr">
        <is>
          <t>عدد المراحل</t>
        </is>
      </c>
      <c r="F8" s="6">
        <f>IFERROR(VLOOKUP($B$6,PartsTable,3,FALSE),"")</f>
        <v/>
      </c>
    </row>
    <row r="9" ht="26" customHeight="1">
      <c r="A9" s="4" t="inlineStr">
        <is>
          <t>◆  تفاصيل الفحص</t>
        </is>
      </c>
    </row>
    <row r="10" ht="30" customHeight="1">
      <c r="A10" s="7" t="inlineStr">
        <is>
          <t>م</t>
        </is>
      </c>
      <c r="B10" s="7" t="inlineStr">
        <is>
          <t>مرحلة العمل</t>
        </is>
      </c>
      <c r="C10" s="7" t="inlineStr">
        <is>
          <t>عدد القطع</t>
        </is>
      </c>
      <c r="D10" s="7" t="inlineStr">
        <is>
          <t>الفني</t>
        </is>
      </c>
      <c r="E10" s="7" t="inlineStr">
        <is>
          <t>مقبول/ مرفوض</t>
        </is>
      </c>
      <c r="F10" s="7" t="inlineStr">
        <is>
          <t>السماحية</t>
        </is>
      </c>
      <c r="G10" s="7" t="inlineStr">
        <is>
          <t>السبب</t>
        </is>
      </c>
    </row>
    <row r="11" ht="21" customHeight="1">
      <c r="A11" s="8" t="n">
        <v>1</v>
      </c>
      <c r="B11" s="9" t="n"/>
      <c r="C11" s="10" t="n"/>
      <c r="D11" s="9" t="n"/>
      <c r="E11" s="10" t="n"/>
      <c r="F11" s="10" t="n"/>
      <c r="G11" s="9" t="n"/>
    </row>
    <row r="12" ht="21" customHeight="1">
      <c r="A12" s="8" t="n">
        <v>2</v>
      </c>
      <c r="B12" s="9" t="n"/>
      <c r="C12" s="10" t="n"/>
      <c r="D12" s="9" t="n"/>
      <c r="E12" s="10" t="n"/>
      <c r="F12" s="10" t="n"/>
      <c r="G12" s="9" t="n"/>
    </row>
    <row r="13" ht="21" customHeight="1">
      <c r="A13" s="8" t="n">
        <v>3</v>
      </c>
      <c r="B13" s="9" t="n"/>
      <c r="C13" s="10" t="n"/>
      <c r="D13" s="9" t="n"/>
      <c r="E13" s="10" t="n"/>
      <c r="F13" s="10" t="n"/>
      <c r="G13" s="9" t="n"/>
    </row>
    <row r="14" ht="21" customHeight="1">
      <c r="A14" s="8" t="n">
        <v>4</v>
      </c>
      <c r="B14" s="9" t="n"/>
      <c r="C14" s="10" t="n"/>
      <c r="D14" s="9" t="n"/>
      <c r="E14" s="10" t="n"/>
      <c r="F14" s="10" t="n"/>
      <c r="G14" s="9" t="n"/>
    </row>
    <row r="15" ht="21" customHeight="1">
      <c r="A15" s="8" t="n">
        <v>5</v>
      </c>
      <c r="B15" s="9" t="n"/>
      <c r="C15" s="10" t="n"/>
      <c r="D15" s="9" t="n"/>
      <c r="E15" s="10" t="n"/>
      <c r="F15" s="10" t="n"/>
      <c r="G15" s="9" t="n"/>
    </row>
    <row r="16" ht="21" customHeight="1">
      <c r="A16" s="8" t="n">
        <v>6</v>
      </c>
      <c r="B16" s="9" t="n"/>
      <c r="C16" s="10" t="n"/>
      <c r="D16" s="9" t="n"/>
      <c r="E16" s="10" t="n"/>
      <c r="F16" s="10" t="n"/>
      <c r="G16" s="9" t="n"/>
    </row>
    <row r="17" ht="21" customHeight="1">
      <c r="A17" s="8" t="n">
        <v>7</v>
      </c>
      <c r="B17" s="9" t="n"/>
      <c r="C17" s="10" t="n"/>
      <c r="D17" s="9" t="n"/>
      <c r="E17" s="10" t="n"/>
      <c r="F17" s="10" t="n"/>
      <c r="G17" s="9" t="n"/>
    </row>
    <row r="18" ht="21" customHeight="1">
      <c r="A18" s="8" t="n">
        <v>8</v>
      </c>
      <c r="B18" s="9" t="n"/>
      <c r="C18" s="10" t="n"/>
      <c r="D18" s="9" t="n"/>
      <c r="E18" s="10" t="n"/>
      <c r="F18" s="10" t="n"/>
      <c r="G18" s="9" t="n"/>
    </row>
    <row r="19" ht="21" customHeight="1">
      <c r="A19" s="8" t="n">
        <v>9</v>
      </c>
      <c r="B19" s="9" t="n"/>
      <c r="C19" s="10" t="n"/>
      <c r="D19" s="9" t="n"/>
      <c r="E19" s="10" t="n"/>
      <c r="F19" s="10" t="n"/>
      <c r="G19" s="9" t="n"/>
    </row>
    <row r="20" ht="21" customHeight="1">
      <c r="A20" s="8" t="n">
        <v>10</v>
      </c>
      <c r="B20" s="9" t="n"/>
      <c r="C20" s="10" t="n"/>
      <c r="D20" s="9" t="n"/>
      <c r="E20" s="10" t="n"/>
      <c r="F20" s="10" t="n"/>
      <c r="G20" s="9" t="n"/>
    </row>
    <row r="21" ht="21" customHeight="1">
      <c r="A21" s="8" t="n">
        <v>11</v>
      </c>
      <c r="B21" s="9" t="n"/>
      <c r="C21" s="10" t="n"/>
      <c r="D21" s="9" t="n"/>
      <c r="E21" s="10" t="n"/>
      <c r="F21" s="10" t="n"/>
      <c r="G21" s="9" t="n"/>
    </row>
    <row r="22" ht="21" customHeight="1">
      <c r="A22" s="8" t="n">
        <v>12</v>
      </c>
      <c r="B22" s="9" t="n"/>
      <c r="C22" s="10" t="n"/>
      <c r="D22" s="9" t="n"/>
      <c r="E22" s="10" t="n"/>
      <c r="F22" s="10" t="n"/>
      <c r="G22" s="9" t="n"/>
    </row>
    <row r="23" ht="21" customHeight="1">
      <c r="A23" s="8" t="n">
        <v>13</v>
      </c>
      <c r="B23" s="9" t="n"/>
      <c r="C23" s="10" t="n"/>
      <c r="D23" s="9" t="n"/>
      <c r="E23" s="10" t="n"/>
      <c r="F23" s="10" t="n"/>
      <c r="G23" s="9" t="n"/>
    </row>
    <row r="24" ht="21" customHeight="1">
      <c r="A24" s="8" t="n">
        <v>14</v>
      </c>
      <c r="B24" s="9" t="n"/>
      <c r="C24" s="10" t="n"/>
      <c r="D24" s="9" t="n"/>
      <c r="E24" s="10" t="n"/>
      <c r="F24" s="10" t="n"/>
      <c r="G24" s="9" t="n"/>
    </row>
    <row r="25" ht="21" customHeight="1">
      <c r="A25" s="8" t="n">
        <v>15</v>
      </c>
      <c r="B25" s="9" t="n"/>
      <c r="C25" s="10" t="n"/>
      <c r="D25" s="9" t="n"/>
      <c r="E25" s="10" t="n"/>
      <c r="F25" s="10" t="n"/>
      <c r="G25" s="9" t="n"/>
    </row>
    <row r="26" ht="21" customHeight="1">
      <c r="A26" s="8" t="n">
        <v>16</v>
      </c>
      <c r="B26" s="9" t="n"/>
      <c r="C26" s="10" t="n"/>
      <c r="D26" s="9" t="n"/>
      <c r="E26" s="10" t="n"/>
      <c r="F26" s="10" t="n"/>
      <c r="G26" s="9" t="n"/>
    </row>
    <row r="27" ht="21" customHeight="1">
      <c r="A27" s="8" t="n">
        <v>17</v>
      </c>
      <c r="B27" s="9" t="n"/>
      <c r="C27" s="10" t="n"/>
      <c r="D27" s="9" t="n"/>
      <c r="E27" s="10" t="n"/>
      <c r="F27" s="10" t="n"/>
      <c r="G27" s="9" t="n"/>
    </row>
    <row r="28" ht="21" customHeight="1">
      <c r="A28" s="8" t="n">
        <v>18</v>
      </c>
      <c r="B28" s="9" t="n"/>
      <c r="C28" s="10" t="n"/>
      <c r="D28" s="9" t="n"/>
      <c r="E28" s="10" t="n"/>
      <c r="F28" s="10" t="n"/>
      <c r="G28" s="9" t="n"/>
    </row>
    <row r="29" ht="21" customHeight="1">
      <c r="A29" s="8" t="n">
        <v>19</v>
      </c>
      <c r="B29" s="9" t="n"/>
      <c r="C29" s="10" t="n"/>
      <c r="D29" s="9" t="n"/>
      <c r="E29" s="10" t="n"/>
      <c r="F29" s="10" t="n"/>
      <c r="G29" s="9" t="n"/>
    </row>
    <row r="30" ht="21" customHeight="1">
      <c r="A30" s="8" t="n">
        <v>20</v>
      </c>
      <c r="B30" s="9" t="n"/>
      <c r="C30" s="10" t="n"/>
      <c r="D30" s="9" t="n"/>
      <c r="E30" s="10" t="n"/>
      <c r="F30" s="10" t="n"/>
      <c r="G30" s="9" t="n"/>
    </row>
    <row r="31" ht="21" customHeight="1">
      <c r="A31" s="8" t="n">
        <v>21</v>
      </c>
      <c r="B31" s="9" t="n"/>
      <c r="C31" s="10" t="n"/>
      <c r="D31" s="9" t="n"/>
      <c r="E31" s="10" t="n"/>
      <c r="F31" s="10" t="n"/>
      <c r="G31" s="9" t="n"/>
    </row>
    <row r="32" ht="21" customHeight="1">
      <c r="A32" s="8" t="n">
        <v>22</v>
      </c>
      <c r="B32" s="9" t="n"/>
      <c r="C32" s="10" t="n"/>
      <c r="D32" s="9" t="n"/>
      <c r="E32" s="10" t="n"/>
      <c r="F32" s="10" t="n"/>
      <c r="G32" s="9" t="n"/>
    </row>
    <row r="33" ht="21" customHeight="1">
      <c r="A33" s="8" t="n">
        <v>23</v>
      </c>
      <c r="B33" s="9" t="n"/>
      <c r="C33" s="10" t="n"/>
      <c r="D33" s="9" t="n"/>
      <c r="E33" s="10" t="n"/>
      <c r="F33" s="10" t="n"/>
      <c r="G33" s="9" t="n"/>
    </row>
    <row r="34" ht="21" customHeight="1">
      <c r="A34" s="8" t="n">
        <v>24</v>
      </c>
      <c r="B34" s="9" t="n"/>
      <c r="C34" s="10" t="n"/>
      <c r="D34" s="9" t="n"/>
      <c r="E34" s="10" t="n"/>
      <c r="F34" s="10" t="n"/>
      <c r="G34" s="9" t="n"/>
    </row>
    <row r="35" ht="21" customHeight="1">
      <c r="A35" s="8" t="n">
        <v>25</v>
      </c>
      <c r="B35" s="9" t="n"/>
      <c r="C35" s="10" t="n"/>
      <c r="D35" s="9" t="n"/>
      <c r="E35" s="10" t="n"/>
      <c r="F35" s="10" t="n"/>
      <c r="G35" s="9" t="n"/>
    </row>
    <row r="36" ht="21" customHeight="1">
      <c r="A36" s="8" t="n">
        <v>26</v>
      </c>
      <c r="B36" s="9" t="n"/>
      <c r="C36" s="10" t="n"/>
      <c r="D36" s="9" t="n"/>
      <c r="E36" s="10" t="n"/>
      <c r="F36" s="10" t="n"/>
      <c r="G36" s="9" t="n"/>
    </row>
    <row r="37" ht="21" customHeight="1">
      <c r="A37" s="8" t="n">
        <v>27</v>
      </c>
      <c r="B37" s="9" t="n"/>
      <c r="C37" s="10" t="n"/>
      <c r="D37" s="9" t="n"/>
      <c r="E37" s="10" t="n"/>
      <c r="F37" s="10" t="n"/>
      <c r="G37" s="9" t="n"/>
    </row>
    <row r="38" ht="21" customHeight="1">
      <c r="A38" s="8" t="n">
        <v>28</v>
      </c>
      <c r="B38" s="9" t="n"/>
      <c r="C38" s="10" t="n"/>
      <c r="D38" s="9" t="n"/>
      <c r="E38" s="10" t="n"/>
      <c r="F38" s="10" t="n"/>
      <c r="G38" s="9" t="n"/>
    </row>
    <row r="39" ht="21" customHeight="1">
      <c r="A39" s="8" t="n">
        <v>29</v>
      </c>
      <c r="B39" s="9" t="n"/>
      <c r="C39" s="10" t="n"/>
      <c r="D39" s="9" t="n"/>
      <c r="E39" s="10" t="n"/>
      <c r="F39" s="10" t="n"/>
      <c r="G39" s="9" t="n"/>
    </row>
    <row r="40" ht="21" customHeight="1">
      <c r="A40" s="8" t="n">
        <v>30</v>
      </c>
      <c r="B40" s="9" t="n"/>
      <c r="C40" s="10" t="n"/>
      <c r="D40" s="9" t="n"/>
      <c r="E40" s="10" t="n"/>
      <c r="F40" s="10" t="n"/>
      <c r="G40" s="9" t="n"/>
    </row>
    <row r="42" ht="26" customHeight="1">
      <c r="A42" s="4" t="inlineStr">
        <is>
          <t>◆  ملخص نتائج الفحص</t>
        </is>
      </c>
    </row>
    <row r="43" ht="22" customHeight="1">
      <c r="A43" s="5" t="inlineStr">
        <is>
          <t>إجمالي المراحل المفحوصة</t>
        </is>
      </c>
      <c r="B43" s="11" t="n"/>
      <c r="C43" s="11" t="n"/>
      <c r="D43" s="12">
        <f>COUNTIF(E11:E40,"مقبول")+COUNTIF(E11:E40,"مرفوض")</f>
        <v/>
      </c>
      <c r="E43" s="11" t="n"/>
      <c r="F43" s="11" t="n"/>
      <c r="G43" s="11" t="n"/>
    </row>
    <row r="44" ht="22" customHeight="1">
      <c r="A44" s="5" t="inlineStr">
        <is>
          <t>عدد المقبول</t>
        </is>
      </c>
      <c r="B44" s="11" t="n"/>
      <c r="C44" s="11" t="n"/>
      <c r="D44" s="12">
        <f>COUNTIF(E11:E40,"مقبول")</f>
        <v/>
      </c>
      <c r="E44" s="11" t="n"/>
      <c r="F44" s="11" t="n"/>
      <c r="G44" s="11" t="n"/>
    </row>
    <row r="45" ht="22" customHeight="1">
      <c r="A45" s="5" t="inlineStr">
        <is>
          <t>عدد المرفوض</t>
        </is>
      </c>
      <c r="B45" s="11" t="n"/>
      <c r="C45" s="11" t="n"/>
      <c r="D45" s="12">
        <f>COUNTIF(E11:E40,"مرفوض")</f>
        <v/>
      </c>
      <c r="E45" s="11" t="n"/>
      <c r="F45" s="11" t="n"/>
      <c r="G45" s="11" t="n"/>
    </row>
    <row r="46" ht="22" customHeight="1">
      <c r="A46" s="5" t="inlineStr">
        <is>
          <t>نسبة القبول %</t>
        </is>
      </c>
      <c r="B46" s="11" t="n"/>
      <c r="C46" s="11" t="n"/>
      <c r="D46" s="13">
        <f>IFERROR(COUNTIF(E11:E40,"مقبول")/(COUNTIF(E11:E40,"مقبول")+COUNTIF(E11:E40,"مرفوض")),0)</f>
        <v/>
      </c>
      <c r="E46" s="11" t="n"/>
      <c r="F46" s="11" t="n"/>
      <c r="G46" s="11" t="n"/>
    </row>
    <row r="48" ht="24" customHeight="1">
      <c r="A48" s="14" t="inlineStr">
        <is>
          <t>الضبط والجودة</t>
        </is>
      </c>
      <c r="C48" s="14" t="inlineStr">
        <is>
          <t>مدير المشروع / أو المنشأة</t>
        </is>
      </c>
      <c r="F48" s="14" t="inlineStr">
        <is>
          <t>الفاحص الفني</t>
        </is>
      </c>
    </row>
    <row r="49" ht="26" customHeight="1">
      <c r="A49" s="15" t="inlineStr">
        <is>
          <t>الاسم/ ..............................</t>
        </is>
      </c>
      <c r="C49" s="15" t="inlineStr">
        <is>
          <t>الاسم/ ..............................</t>
        </is>
      </c>
      <c r="F49" s="15" t="inlineStr">
        <is>
          <t>الاسم/ ..............................</t>
        </is>
      </c>
    </row>
    <row r="50" ht="26" customHeight="1">
      <c r="A50" s="15" t="inlineStr">
        <is>
          <t>التوقيع/ ..............................</t>
        </is>
      </c>
      <c r="C50" s="15" t="inlineStr">
        <is>
          <t>التوقيع/ ..............................</t>
        </is>
      </c>
      <c r="F50" s="15" t="inlineStr">
        <is>
          <t>التوقيع/ ..............................</t>
        </is>
      </c>
    </row>
  </sheetData>
  <mergeCells count="30">
    <mergeCell ref="A48:B48"/>
    <mergeCell ref="C50:E50"/>
    <mergeCell ref="B7:C7"/>
    <mergeCell ref="A46:C46"/>
    <mergeCell ref="B8:D8"/>
    <mergeCell ref="A49:B49"/>
    <mergeCell ref="A5:G5"/>
    <mergeCell ref="A4:G4"/>
    <mergeCell ref="A1:B3"/>
    <mergeCell ref="F3:G3"/>
    <mergeCell ref="A9:G9"/>
    <mergeCell ref="D44:G44"/>
    <mergeCell ref="C48:E48"/>
    <mergeCell ref="F50:G50"/>
    <mergeCell ref="E7:G7"/>
    <mergeCell ref="A43:C43"/>
    <mergeCell ref="D46:G46"/>
    <mergeCell ref="F8:G8"/>
    <mergeCell ref="A50:B50"/>
    <mergeCell ref="F2:G2"/>
    <mergeCell ref="A44:C44"/>
    <mergeCell ref="D45:G45"/>
    <mergeCell ref="D6:G6"/>
    <mergeCell ref="C49:E49"/>
    <mergeCell ref="F48:G48"/>
    <mergeCell ref="A45:C45"/>
    <mergeCell ref="F49:G49"/>
    <mergeCell ref="D43:G43"/>
    <mergeCell ref="F1:G1"/>
    <mergeCell ref="A42:G42"/>
  </mergeCells>
  <conditionalFormatting sqref="A11:G40">
    <cfRule type="expression" priority="1" dxfId="0">
      <formula>AND($F$8&lt;&gt;"",$A11&gt;$F$8)</formula>
    </cfRule>
  </conditionalFormatting>
  <conditionalFormatting sqref="E11:E40">
    <cfRule type="expression" priority="2" dxfId="1">
      <formula>$E11="مقبول"</formula>
    </cfRule>
    <cfRule type="expression" priority="3" dxfId="2">
      <formula>$E11="مرفوض"</formula>
    </cfRule>
  </conditionalFormatting>
  <dataValidations count="3">
    <dataValidation sqref="B6" showDropDown="0" showInputMessage="0" showErrorMessage="0" allowBlank="1" promptTitle="رقم القطعة" prompt="اختر رقم القطعة من القائمة" type="list">
      <formula1>=PartsList</formula1>
    </dataValidation>
    <dataValidation sqref="E11:E40" showDropDown="0" showInputMessage="0" showErrorMessage="0" allowBlank="1" type="list">
      <formula1>"مقبول,مرفوض"</formula1>
    </dataValidation>
    <dataValidation sqref="C11:C40" showDropDown="0" showInputMessage="0" showErrorMessage="0" allowBlank="1" type="whole" operator="greaterThanOrEqual">
      <formula1>0</formula1>
    </dataValidation>
  </dataValidations>
  <printOptions horizontalCentered="1"/>
  <pageMargins left="0.3" right="0.3" top="0.4" bottom="0.4" header="0.5" footer="0.5"/>
  <pageSetup orientation="portrait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4" customWidth="1" min="3" max="3"/>
  </cols>
  <sheetData>
    <row r="1">
      <c r="A1" s="16" t="inlineStr">
        <is>
          <t>رقم القطعة</t>
        </is>
      </c>
      <c r="B1" s="16" t="inlineStr">
        <is>
          <t>اسم القطعة</t>
        </is>
      </c>
      <c r="C1" s="16" t="inlineStr">
        <is>
          <t>عدد المراحل</t>
        </is>
      </c>
    </row>
    <row r="2">
      <c r="A2" s="10" t="inlineStr">
        <is>
          <t>P-1001</t>
        </is>
      </c>
      <c r="B2" s="9" t="inlineStr">
        <is>
          <t>عمود إدارة رئيسي</t>
        </is>
      </c>
      <c r="C2" s="10" t="n">
        <v>10</v>
      </c>
    </row>
    <row r="3">
      <c r="A3" s="10" t="inlineStr">
        <is>
          <t>P-1002</t>
        </is>
      </c>
      <c r="B3" s="9" t="inlineStr">
        <is>
          <t>غطاء علبة التروس</t>
        </is>
      </c>
      <c r="C3" s="10" t="n">
        <v>20</v>
      </c>
    </row>
    <row r="4">
      <c r="A4" s="10" t="inlineStr">
        <is>
          <t>P-1003</t>
        </is>
      </c>
      <c r="B4" s="9" t="inlineStr">
        <is>
          <t>جسم المضخة</t>
        </is>
      </c>
      <c r="C4" s="10" t="n">
        <v>30</v>
      </c>
    </row>
    <row r="5">
      <c r="A5" s="10" t="inlineStr">
        <is>
          <t>P-1004</t>
        </is>
      </c>
      <c r="B5" s="9" t="inlineStr">
        <is>
          <t>فلنجة توصيل</t>
        </is>
      </c>
      <c r="C5" s="10" t="n">
        <v>10</v>
      </c>
    </row>
    <row r="6">
      <c r="A6" s="10" t="inlineStr">
        <is>
          <t>P-1005</t>
        </is>
      </c>
      <c r="B6" s="9" t="inlineStr">
        <is>
          <t>ذراع رافعة</t>
        </is>
      </c>
      <c r="C6" s="10" t="n">
        <v>20</v>
      </c>
    </row>
    <row r="7">
      <c r="A7" s="10" t="inlineStr">
        <is>
          <t>P-1006</t>
        </is>
      </c>
      <c r="B7" s="9" t="inlineStr">
        <is>
          <t>قاعدة محرك</t>
        </is>
      </c>
      <c r="C7" s="10" t="n">
        <v>30</v>
      </c>
    </row>
    <row r="9">
      <c r="A9" s="17" t="inlineStr">
        <is>
          <t>أضف/عدّل القطع هنا (رقم القطعة، اسمها، عدد مراحلها). تنعكس تلقائياً في الاستمارة.</t>
        </is>
      </c>
    </row>
  </sheetData>
  <mergeCells count="1">
    <mergeCell ref="A9:C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2026-07-05T07:21:37Z</dcterms:created>
  <dcterms:modified xsi:type="dcterms:W3CDTF">2026-07-05T07:21:37Z</dcterms:modified>
</cp:coreProperties>
</file>